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mohamedabdelsamea\source\repos\Planova\Planova\tests\"/>
    </mc:Choice>
  </mc:AlternateContent>
  <xr:revisionPtr revIDLastSave="0" documentId="13_ncr:1_{2ECB2763-A7DC-49F7-B205-A4F8A90900E6}" xr6:coauthVersionLast="47" xr6:coauthVersionMax="47" xr10:uidLastSave="{00000000-0000-0000-0000-000000000000}"/>
  <bookViews>
    <workbookView xWindow="-120" yWindow="-120" windowWidth="29040" windowHeight="15720" xr2:uid="{1D618925-B740-436C-9C0B-F0CAC8CAFC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0" i="1" l="1"/>
  <c r="F38" i="1"/>
  <c r="F34" i="1"/>
  <c r="F33" i="1"/>
  <c r="F32" i="1"/>
  <c r="F31" i="1"/>
  <c r="F30" i="1"/>
  <c r="F29" i="1"/>
  <c r="F23" i="1"/>
  <c r="A17" i="1"/>
  <c r="A19" i="1" s="1"/>
  <c r="A23" i="1" s="1"/>
</calcChain>
</file>

<file path=xl/sharedStrings.xml><?xml version="1.0" encoding="utf-8"?>
<sst xmlns="http://schemas.openxmlformats.org/spreadsheetml/2006/main" count="50" uniqueCount="38">
  <si>
    <t>Rate</t>
  </si>
  <si>
    <t>Total</t>
  </si>
  <si>
    <t>DIVISION 03 - CONCRETE</t>
  </si>
  <si>
    <t>NOTES:-</t>
  </si>
  <si>
    <t>- Provide all labor, materials, equipments and detailed shop drawings to stated performance standards.</t>
  </si>
  <si>
    <t>- Obtain Engineer's approval before executing any work including molds and forms which necessary to complete the work.</t>
  </si>
  <si>
    <t>- Rates for all concrete items shall include formwork, testing, placing of concrete, vibrating, curing, workmanship, finishing, openings, and foam sheets of 2.5 cm thickness for (column-beam) and all other required works to complete as per structural drawings, specifications, and Engineer's instructions.</t>
  </si>
  <si>
    <t>- All concrete works shall be ready-mix concrete poured by using concrete pumps. Concrete shall be from an approved batch plant and as indicated on specifications and Engineer's instructions.</t>
  </si>
  <si>
    <t>- All concrete works below slab-on-grade level shall be impermeable concrete with sulphate resistant cement.</t>
  </si>
  <si>
    <t>- Unless otherwise stated, all works have been measured net and fitted and/or fixed in place</t>
  </si>
  <si>
    <r>
      <t xml:space="preserve">- </t>
    </r>
    <r>
      <rPr>
        <b/>
        <sz val="10"/>
        <rFont val="Arial"/>
        <family val="2"/>
      </rPr>
      <t>Steel Reinforcement shall be:</t>
    </r>
    <r>
      <rPr>
        <sz val="10"/>
        <rFont val="Arial"/>
        <family val="2"/>
      </rPr>
      <t xml:space="preserve">
1- Normal Mild Steel “Y” (Grade B240D-P), 
with yield stress 2400 kg/cm</t>
    </r>
    <r>
      <rPr>
        <vertAlign val="superscript"/>
        <sz val="10"/>
        <rFont val="Arial"/>
        <family val="2"/>
      </rPr>
      <t>2</t>
    </r>
    <r>
      <rPr>
        <sz val="10"/>
        <rFont val="Arial"/>
        <family val="2"/>
      </rPr>
      <t xml:space="preserve">
2- High Tensile Steel “T” (Grade B500DWR), 
with Proof stress 5000 kg/cm</t>
    </r>
    <r>
      <rPr>
        <vertAlign val="superscript"/>
        <sz val="10"/>
        <rFont val="Arial"/>
        <family val="2"/>
      </rPr>
      <t>2</t>
    </r>
    <r>
      <rPr>
        <sz val="10"/>
        <rFont val="Arial"/>
        <family val="2"/>
      </rPr>
      <t>.</t>
    </r>
  </si>
  <si>
    <t>Section 03 30 00 - Cast-in-place Concrete</t>
  </si>
  <si>
    <r>
      <rPr>
        <b/>
        <sz val="10"/>
        <rFont val="Arial"/>
        <family val="2"/>
      </rPr>
      <t>Supply, cast</t>
    </r>
    <r>
      <rPr>
        <sz val="10"/>
        <rFont val="Arial"/>
        <family val="2"/>
      </rPr>
      <t xml:space="preserve"> </t>
    </r>
    <r>
      <rPr>
        <b/>
        <sz val="10"/>
        <rFont val="Arial"/>
        <family val="2"/>
      </rPr>
      <t>blinding/</t>
    </r>
    <r>
      <rPr>
        <sz val="10"/>
        <rFont val="Arial"/>
        <family val="2"/>
      </rPr>
      <t xml:space="preserve"> </t>
    </r>
    <r>
      <rPr>
        <b/>
        <sz val="10"/>
        <rFont val="Arial"/>
        <family val="2"/>
      </rPr>
      <t>plain concrete</t>
    </r>
    <r>
      <rPr>
        <sz val="10"/>
        <rFont val="Arial"/>
        <family val="2"/>
      </rPr>
      <t>; rate includes but not limited to concrete tests,formwork, mixing, pouring using concrete pump, curing, additives (if needed) and also include all other necessary work to complete as per structural drawings, specifications and Engineer's instructions.</t>
    </r>
  </si>
  <si>
    <r>
      <t>Blinding concrete with compressive strength 150 kg/cm</t>
    </r>
    <r>
      <rPr>
        <b/>
        <vertAlign val="superscript"/>
        <sz val="10"/>
        <rFont val="Arial"/>
        <family val="2"/>
      </rPr>
      <t>2</t>
    </r>
    <r>
      <rPr>
        <b/>
        <sz val="10"/>
        <rFont val="Arial"/>
        <family val="2"/>
      </rPr>
      <t>:</t>
    </r>
  </si>
  <si>
    <t>- Under ground beams and Core Foundation 
(Thick. 100mm). (Rate only)</t>
  </si>
  <si>
    <r>
      <t>m</t>
    </r>
    <r>
      <rPr>
        <vertAlign val="superscript"/>
        <sz val="10"/>
        <rFont val="Arial"/>
        <family val="2"/>
      </rPr>
      <t>2</t>
    </r>
  </si>
  <si>
    <t>Rate only</t>
  </si>
  <si>
    <t>- Under slab on grade (Thick. 50mm). (Rate only)</t>
  </si>
  <si>
    <r>
      <t>Plain concrete with compressive strength 200 kg/cm</t>
    </r>
    <r>
      <rPr>
        <b/>
        <vertAlign val="superscript"/>
        <sz val="10"/>
        <rFont val="Arial"/>
        <family val="2"/>
      </rPr>
      <t>2</t>
    </r>
    <r>
      <rPr>
        <b/>
        <sz val="10"/>
        <rFont val="Arial"/>
        <family val="2"/>
      </rPr>
      <t>:</t>
    </r>
  </si>
  <si>
    <t>- Under footings and PC pads (Thick. 250mm)</t>
  </si>
  <si>
    <r>
      <t>m</t>
    </r>
    <r>
      <rPr>
        <vertAlign val="superscript"/>
        <sz val="10"/>
        <rFont val="Arial"/>
        <family val="2"/>
      </rPr>
      <t>3</t>
    </r>
  </si>
  <si>
    <r>
      <rPr>
        <b/>
        <sz val="10"/>
        <rFont val="Arial"/>
        <family val="2"/>
      </rPr>
      <t>Supply and cast-in-situ ready mix reinforced concrete</t>
    </r>
    <r>
      <rPr>
        <sz val="10"/>
        <rFont val="Arial"/>
        <family val="2"/>
      </rPr>
      <t>; rate includes but not limited to concrete tests,formwork, mixing, pouring using concrete pump, expansion and construction joints(if nedeed), joint filler, sealant, curing, additives (if needed),spacers, repair surface to receive the required finishes and also include all other necessary work to finish as per structur drawings, specifications and Engineer's instructions.</t>
    </r>
  </si>
  <si>
    <r>
      <t>With compressive strength 300 kg/cm</t>
    </r>
    <r>
      <rPr>
        <b/>
        <vertAlign val="superscript"/>
        <sz val="10"/>
        <rFont val="Arial"/>
        <family val="2"/>
      </rPr>
      <t xml:space="preserve">2 </t>
    </r>
    <r>
      <rPr>
        <b/>
        <sz val="10"/>
        <rFont val="Arial"/>
        <family val="2"/>
      </rPr>
      <t>,with dimensions as shown in the design drawings and including the reinforcement.</t>
    </r>
  </si>
  <si>
    <r>
      <t>- For Footings (with Average Reinf. Ratio 75 kg/m</t>
    </r>
    <r>
      <rPr>
        <vertAlign val="superscript"/>
        <sz val="10"/>
        <rFont val="Arial"/>
        <family val="2"/>
      </rPr>
      <t>3</t>
    </r>
    <r>
      <rPr>
        <sz val="10"/>
        <rFont val="Arial"/>
        <family val="2"/>
      </rPr>
      <t>)</t>
    </r>
  </si>
  <si>
    <t>- For Ground Beams (with Average Reinf. Ratio 90 kg/m3)</t>
  </si>
  <si>
    <t>- For Columns (with Average Reinf. Ratio 150 kg/m3)</t>
  </si>
  <si>
    <t>- For Beams (with Average Reinf. Ratio 110 kg/m3)</t>
  </si>
  <si>
    <t>- For Slabs with thicknesses range from 140mm to 240mm and Stairs (with Average Reinf. Ratio 110 kg/m3)</t>
  </si>
  <si>
    <t>- Core (with Average Reinf. Ratio 150 kg/m3)</t>
  </si>
  <si>
    <t>Supply and cast-in-situ ready mix reinforced concrete for slab on grade reinforced with one layer of  T10@200 ; rate includes but not limited to concrete tests,formwork, mixing, pouring using concrete pump, expansion, control, expansion joints construction joints (if nedeed), joint filler, sealant, curing, additives (if needed),spacers, repair surface to receive the required finishes and also include all other necessary work to finish as per structur drawings, specifications and Engineer's instructions.</t>
  </si>
  <si>
    <r>
      <t>With compressive strength 250 kg/cm</t>
    </r>
    <r>
      <rPr>
        <b/>
        <vertAlign val="superscript"/>
        <sz val="10"/>
        <rFont val="Arial"/>
        <family val="2"/>
      </rPr>
      <t>2</t>
    </r>
    <r>
      <rPr>
        <b/>
        <sz val="10"/>
        <rFont val="Arial"/>
        <family val="2"/>
      </rPr>
      <t>:</t>
    </r>
  </si>
  <si>
    <t>- For interior S.O.G with thickness 15 cm.</t>
  </si>
  <si>
    <t>- For exterior S.O.G with thickness 20 cm with two layers T10@200 T,B. (Rate only)</t>
  </si>
  <si>
    <t>Total To Summary</t>
  </si>
  <si>
    <t>items</t>
  </si>
  <si>
    <t>QS</t>
  </si>
  <si>
    <t>UNITS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</si>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</sst>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 ###\ ###"/>
    <numFmt numFmtId="166" formatCode="0.0"/>
    <numFmt numFmtId="167" formatCode="#.00\ ###\ ###"/>
    <numFmt numFmtId="168" formatCode="#.0\ ###\ ###"/>
  </numFmts>
  <fonts count="18" x14ac:knownFonts="1">
    <font>
      <sz val="11"/>
      <color theme="1"/>
      <name val="Calibri"/>
      <family val="2"/>
      <scheme val="minor"/>
    </font>
    <font>
      <sz val="11"/>
      <color theme="1"/>
      <name val="Calibri"/>
      <family val="2"/>
      <scheme val="minor"/>
    </font>
    <font>
      <sz val="10"/>
      <name val="Arial"/>
      <family val="2"/>
    </font>
    <font>
      <b/>
      <sz val="12"/>
      <name val="Calibri"/>
      <family val="2"/>
      <scheme val="minor"/>
    </font>
    <font>
      <b/>
      <sz val="14"/>
      <name val="Calibri"/>
      <family val="2"/>
      <scheme val="minor"/>
    </font>
    <font>
      <b/>
      <sz val="10"/>
      <name val="Calibri"/>
      <family val="2"/>
      <scheme val="minor"/>
    </font>
    <font>
      <b/>
      <u/>
      <sz val="12"/>
      <name val="Arial"/>
      <family val="2"/>
    </font>
    <font>
      <b/>
      <u/>
      <sz val="10"/>
      <name val="Calibri"/>
      <family val="2"/>
      <scheme val="minor"/>
    </font>
    <font>
      <sz val="11"/>
      <color theme="1"/>
      <name val="Calibri"/>
      <family val="2"/>
      <charset val="178"/>
      <scheme val="minor"/>
    </font>
    <font>
      <b/>
      <u/>
      <sz val="10"/>
      <name val="Arial"/>
      <family val="2"/>
    </font>
    <font>
      <sz val="10"/>
      <name val="Calibri"/>
      <family val="2"/>
      <scheme val="minor"/>
    </font>
    <font>
      <b/>
      <sz val="16"/>
      <name val="Calibri"/>
      <family val="2"/>
      <scheme val="minor"/>
    </font>
    <font>
      <b/>
      <sz val="10"/>
      <name val="Arial"/>
      <family val="2"/>
    </font>
    <font>
      <vertAlign val="superscript"/>
      <sz val="10"/>
      <name val="Arial"/>
      <family val="2"/>
    </font>
    <font>
      <b/>
      <vertAlign val="superscript"/>
      <sz val="10"/>
      <name val="Arial"/>
      <family val="2"/>
    </font>
    <font>
      <sz val="12"/>
      <name val="Arial Narrow"/>
      <family val="2"/>
    </font>
    <font>
      <sz val="10"/>
      <color theme="1"/>
      <name val="Arial"/>
      <family val="2"/>
    </font>
    <font>
      <b/>
      <sz val="12"/>
      <name val="Arial Narrow"/>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auto="1"/>
      </top>
      <bottom style="thin">
        <color indexed="64"/>
      </bottom>
      <diagonal/>
    </border>
    <border>
      <left style="thin">
        <color indexed="64"/>
      </left>
      <right style="thin">
        <color indexed="64"/>
      </right>
      <top style="thin">
        <color auto="1"/>
      </top>
      <bottom/>
      <diagonal/>
    </border>
  </borders>
  <cellStyleXfs count="9">
    <xf numFmtId="0" fontId="0" fillId="0" borderId="0"/>
    <xf numFmtId="0" fontId="2" fillId="0" borderId="0"/>
    <xf numFmtId="0" fontId="2" fillId="0" borderId="0"/>
    <xf numFmtId="0" fontId="1" fillId="0" borderId="0"/>
    <xf numFmtId="0" fontId="8" fillId="0" borderId="0"/>
    <xf numFmtId="0" fontId="2" fillId="0" borderId="0"/>
    <xf numFmtId="0" fontId="1" fillId="0" borderId="0"/>
    <xf numFmtId="0" fontId="2" fillId="0" borderId="0"/>
    <xf numFmtId="0" fontId="2" fillId="0" borderId="0"/>
  </cellStyleXfs>
  <cellXfs count="58">
    <xf numFmtId="0" fontId="0" fillId="0" borderId="0" xfId="0"/>
    <xf numFmtId="164" fontId="3" fillId="2" borderId="1" xfId="1" applyNumberFormat="1" applyFont="1" applyFill="1" applyBorder="1" applyAlignment="1">
      <alignment horizontal="center" vertical="center"/>
    </xf>
    <xf numFmtId="0" fontId="4" fillId="2" borderId="1" xfId="1" applyFont="1" applyFill="1" applyBorder="1" applyAlignment="1">
      <alignment horizontal="center" vertical="center"/>
    </xf>
    <xf numFmtId="4" fontId="3" fillId="2" borderId="1" xfId="1" applyNumberFormat="1" applyFont="1" applyFill="1" applyBorder="1" applyAlignment="1">
      <alignment horizontal="center" vertical="center"/>
    </xf>
    <xf numFmtId="2" fontId="5" fillId="2" borderId="1" xfId="2" applyNumberFormat="1" applyFont="1" applyFill="1" applyBorder="1" applyAlignment="1">
      <alignment horizontal="center" vertical="center" wrapText="1"/>
    </xf>
    <xf numFmtId="164" fontId="5" fillId="3" borderId="1" xfId="1" applyNumberFormat="1" applyFont="1" applyFill="1" applyBorder="1" applyAlignment="1">
      <alignment horizontal="center" vertical="center"/>
    </xf>
    <xf numFmtId="0" fontId="6" fillId="3" borderId="1" xfId="3" applyFont="1" applyFill="1" applyBorder="1"/>
    <xf numFmtId="4" fontId="5" fillId="3" borderId="1" xfId="1" applyNumberFormat="1" applyFont="1" applyFill="1" applyBorder="1" applyAlignment="1">
      <alignment horizontal="center" vertical="center"/>
    </xf>
    <xf numFmtId="2" fontId="5" fillId="3" borderId="1" xfId="2" applyNumberFormat="1" applyFont="1" applyFill="1" applyBorder="1" applyAlignment="1">
      <alignment horizontal="center" vertical="center" wrapText="1"/>
    </xf>
    <xf numFmtId="164" fontId="7" fillId="3" borderId="1" xfId="1" applyNumberFormat="1" applyFont="1" applyFill="1" applyBorder="1" applyAlignment="1">
      <alignment horizontal="center" vertical="center"/>
    </xf>
    <xf numFmtId="0" fontId="9" fillId="3" borderId="1" xfId="4" applyFont="1" applyFill="1" applyBorder="1" applyAlignment="1">
      <alignment horizontal="left" vertical="top" wrapText="1"/>
    </xf>
    <xf numFmtId="4" fontId="7" fillId="3" borderId="1" xfId="1" applyNumberFormat="1" applyFont="1" applyFill="1" applyBorder="1" applyAlignment="1">
      <alignment horizontal="center" vertical="center"/>
    </xf>
    <xf numFmtId="2" fontId="10" fillId="3" borderId="1" xfId="2" applyNumberFormat="1" applyFont="1" applyFill="1" applyBorder="1" applyAlignment="1">
      <alignment horizontal="center" vertical="center"/>
    </xf>
    <xf numFmtId="164" fontId="10" fillId="3" borderId="1" xfId="0" applyNumberFormat="1" applyFont="1" applyFill="1" applyBorder="1" applyAlignment="1">
      <alignment horizontal="center" readingOrder="2"/>
    </xf>
    <xf numFmtId="0" fontId="2" fillId="3" borderId="1" xfId="5" quotePrefix="1" applyFill="1" applyBorder="1" applyAlignment="1">
      <alignment horizontal="left" vertical="center" wrapText="1" readingOrder="1"/>
    </xf>
    <xf numFmtId="165" fontId="11" fillId="3" borderId="1" xfId="0" applyNumberFormat="1" applyFont="1" applyFill="1" applyBorder="1" applyAlignment="1">
      <alignment horizontal="center" vertical="center" readingOrder="2"/>
    </xf>
    <xf numFmtId="0" fontId="11" fillId="3" borderId="1" xfId="0" applyFont="1" applyFill="1" applyBorder="1" applyAlignment="1">
      <alignment horizontal="center" vertical="center" readingOrder="2"/>
    </xf>
    <xf numFmtId="0" fontId="2" fillId="3" borderId="1" xfId="5" quotePrefix="1" applyFill="1" applyBorder="1" applyAlignment="1">
      <alignment horizontal="left" vertical="top" wrapText="1" readingOrder="1"/>
    </xf>
    <xf numFmtId="166" fontId="2" fillId="2" borderId="1" xfId="3" applyNumberFormat="1" applyFont="1" applyFill="1" applyBorder="1" applyAlignment="1">
      <alignment horizontal="center"/>
    </xf>
    <xf numFmtId="0" fontId="9" fillId="2" borderId="1" xfId="3" quotePrefix="1" applyFont="1" applyFill="1" applyBorder="1" applyAlignment="1">
      <alignment wrapText="1"/>
    </xf>
    <xf numFmtId="167" fontId="2" fillId="2" borderId="1" xfId="3" applyNumberFormat="1" applyFont="1" applyFill="1" applyBorder="1" applyAlignment="1">
      <alignment horizontal="center" vertical="center"/>
    </xf>
    <xf numFmtId="0" fontId="2" fillId="2" borderId="1" xfId="3" applyFont="1" applyFill="1" applyBorder="1" applyAlignment="1">
      <alignment horizontal="center" vertical="center"/>
    </xf>
    <xf numFmtId="2" fontId="10" fillId="2" borderId="1" xfId="2" applyNumberFormat="1" applyFont="1" applyFill="1" applyBorder="1" applyAlignment="1">
      <alignment horizontal="center" vertical="center"/>
    </xf>
    <xf numFmtId="164" fontId="2" fillId="3" borderId="1" xfId="6" applyNumberFormat="1" applyFont="1" applyFill="1" applyBorder="1" applyAlignment="1">
      <alignment horizontal="center" vertical="top"/>
    </xf>
    <xf numFmtId="0" fontId="2" fillId="3" borderId="1" xfId="3" applyFont="1" applyFill="1" applyBorder="1" applyAlignment="1">
      <alignment horizontal="left" vertical="top" wrapText="1"/>
    </xf>
    <xf numFmtId="168" fontId="2" fillId="3" borderId="1" xfId="3" applyNumberFormat="1" applyFont="1" applyFill="1" applyBorder="1" applyAlignment="1">
      <alignment horizontal="center" vertical="center"/>
    </xf>
    <xf numFmtId="0" fontId="2" fillId="3" borderId="1" xfId="3" applyFont="1" applyFill="1" applyBorder="1" applyAlignment="1">
      <alignment horizontal="center" vertical="center"/>
    </xf>
    <xf numFmtId="164" fontId="2" fillId="0" borderId="1" xfId="6" applyNumberFormat="1" applyFont="1" applyBorder="1" applyAlignment="1">
      <alignment horizontal="center" vertical="top"/>
    </xf>
    <xf numFmtId="0" fontId="2" fillId="0" borderId="1" xfId="3" applyFont="1" applyBorder="1" applyAlignment="1">
      <alignment horizontal="left" vertical="top" wrapText="1"/>
    </xf>
    <xf numFmtId="165" fontId="12" fillId="0" borderId="1" xfId="6" applyNumberFormat="1" applyFont="1" applyBorder="1" applyAlignment="1">
      <alignment horizontal="center" vertical="center"/>
    </xf>
    <xf numFmtId="0" fontId="2" fillId="0" borderId="1" xfId="3" applyFont="1" applyBorder="1" applyAlignment="1">
      <alignment horizontal="center" vertical="center"/>
    </xf>
    <xf numFmtId="2" fontId="10" fillId="0" borderId="1" xfId="2" applyNumberFormat="1" applyFont="1" applyBorder="1" applyAlignment="1">
      <alignment horizontal="center" vertical="center"/>
    </xf>
    <xf numFmtId="0" fontId="12" fillId="0" borderId="1" xfId="3" quotePrefix="1" applyFont="1" applyBorder="1" applyAlignment="1">
      <alignment vertical="top" wrapText="1"/>
    </xf>
    <xf numFmtId="165" fontId="2" fillId="0" borderId="1" xfId="3" applyNumberFormat="1" applyFont="1" applyBorder="1" applyAlignment="1" applyProtection="1">
      <alignment horizontal="center" vertical="center"/>
      <protection locked="0"/>
    </xf>
    <xf numFmtId="166" fontId="2" fillId="0" borderId="1" xfId="6" applyNumberFormat="1" applyFont="1" applyBorder="1" applyAlignment="1">
      <alignment horizontal="center"/>
    </xf>
    <xf numFmtId="0" fontId="2" fillId="0" borderId="1" xfId="3" quotePrefix="1" applyFont="1" applyBorder="1" applyAlignment="1">
      <alignment wrapText="1"/>
    </xf>
    <xf numFmtId="168" fontId="2" fillId="0" borderId="1" xfId="3" applyNumberFormat="1" applyFont="1" applyBorder="1" applyAlignment="1" applyProtection="1">
      <alignment horizontal="center" vertical="center"/>
      <protection locked="0"/>
    </xf>
    <xf numFmtId="3" fontId="15" fillId="0" borderId="1" xfId="7" applyNumberFormat="1" applyFont="1" applyBorder="1" applyAlignment="1">
      <alignment horizontal="center" vertical="center"/>
    </xf>
    <xf numFmtId="0" fontId="2" fillId="0" borderId="1" xfId="6" applyFont="1" applyBorder="1" applyAlignment="1">
      <alignment horizontal="center"/>
    </xf>
    <xf numFmtId="0" fontId="9" fillId="0" borderId="1" xfId="3" quotePrefix="1" applyFont="1" applyBorder="1" applyAlignment="1">
      <alignment wrapText="1"/>
    </xf>
    <xf numFmtId="164" fontId="2" fillId="2" borderId="1" xfId="6" applyNumberFormat="1" applyFont="1" applyFill="1" applyBorder="1" applyAlignment="1">
      <alignment horizontal="center" vertical="top"/>
    </xf>
    <xf numFmtId="0" fontId="6" fillId="2" borderId="1" xfId="3" applyFont="1" applyFill="1" applyBorder="1"/>
    <xf numFmtId="168" fontId="2" fillId="2" borderId="1" xfId="3" applyNumberFormat="1" applyFont="1" applyFill="1" applyBorder="1" applyAlignment="1">
      <alignment horizontal="center" vertical="center"/>
    </xf>
    <xf numFmtId="3" fontId="15" fillId="2" borderId="1" xfId="7" applyNumberFormat="1" applyFont="1" applyFill="1" applyBorder="1" applyAlignment="1">
      <alignment horizontal="center" vertical="center"/>
    </xf>
    <xf numFmtId="0" fontId="6" fillId="0" borderId="1" xfId="3" applyFont="1" applyBorder="1"/>
    <xf numFmtId="168" fontId="2" fillId="0" borderId="1" xfId="3" applyNumberFormat="1" applyFont="1" applyBorder="1" applyAlignment="1">
      <alignment horizontal="center" vertical="center"/>
    </xf>
    <xf numFmtId="0" fontId="2" fillId="0" borderId="1" xfId="3" quotePrefix="1" applyFont="1" applyBorder="1" applyAlignment="1">
      <alignment vertical="top" wrapText="1"/>
    </xf>
    <xf numFmtId="0" fontId="16" fillId="0" borderId="1" xfId="5" applyFont="1" applyBorder="1" applyAlignment="1">
      <alignment horizontal="center" vertical="center"/>
    </xf>
    <xf numFmtId="0" fontId="2" fillId="0" borderId="1" xfId="5" applyBorder="1" applyAlignment="1">
      <alignment horizontal="center" vertical="center"/>
    </xf>
    <xf numFmtId="166" fontId="2" fillId="0" borderId="1" xfId="3" applyNumberFormat="1" applyFont="1" applyBorder="1" applyAlignment="1">
      <alignment horizontal="center"/>
    </xf>
    <xf numFmtId="166" fontId="2" fillId="3" borderId="1" xfId="3" applyNumberFormat="1" applyFont="1" applyFill="1" applyBorder="1" applyAlignment="1">
      <alignment horizontal="center"/>
    </xf>
    <xf numFmtId="0" fontId="12" fillId="3" borderId="1" xfId="3" quotePrefix="1" applyFont="1" applyFill="1" applyBorder="1" applyAlignment="1">
      <alignment vertical="top" wrapText="1"/>
    </xf>
    <xf numFmtId="0" fontId="2" fillId="3" borderId="1" xfId="3" quotePrefix="1" applyFont="1" applyFill="1" applyBorder="1" applyAlignment="1">
      <alignment vertical="top" wrapText="1"/>
    </xf>
    <xf numFmtId="166" fontId="2" fillId="3" borderId="1" xfId="3" applyNumberFormat="1" applyFont="1" applyFill="1" applyBorder="1" applyAlignment="1" applyProtection="1">
      <alignment horizontal="center" vertical="center"/>
      <protection locked="0"/>
    </xf>
    <xf numFmtId="166" fontId="2" fillId="0" borderId="1" xfId="3" applyNumberFormat="1" applyFont="1" applyBorder="1" applyAlignment="1">
      <alignment horizontal="center" vertical="top"/>
    </xf>
    <xf numFmtId="0" fontId="17" fillId="4" borderId="2" xfId="8" applyFont="1" applyFill="1" applyBorder="1" applyAlignment="1">
      <alignment horizontal="left" vertical="center"/>
    </xf>
    <xf numFmtId="0" fontId="17" fillId="4" borderId="2" xfId="8" applyFont="1" applyFill="1" applyBorder="1" applyAlignment="1">
      <alignment horizontal="center" vertical="center"/>
    </xf>
    <xf numFmtId="2" fontId="10" fillId="2" borderId="2" xfId="2" applyNumberFormat="1" applyFont="1" applyFill="1" applyBorder="1" applyAlignment="1">
      <alignment vertical="center"/>
    </xf>
  </cellXfs>
  <cellStyles count="9">
    <cellStyle name="Normal" xfId="0" builtinId="0"/>
    <cellStyle name="Normal 11 2 2" xfId="2" xr:uid="{247498A4-95F9-4181-83BB-12B12F4AC17B}"/>
    <cellStyle name="Normal 2 2 2" xfId="7" xr:uid="{11C58671-66DD-4147-B3C9-F5A4B90A5885}"/>
    <cellStyle name="Normal 4 2 2 2 2 2 2 2 3 2" xfId="3" xr:uid="{AD776798-95E3-4BF3-B03A-6310CF617C30}"/>
    <cellStyle name="Normal 4 2 2 2 2 2 2 2 3 3" xfId="6" xr:uid="{68FE60D4-13D9-459E-9592-7134A938CDB1}"/>
    <cellStyle name="Normal 4 4" xfId="5" xr:uid="{EFC26853-84BB-4CD3-9E5F-DE9DD5401835}"/>
    <cellStyle name="Normal 5" xfId="4" xr:uid="{AE8641FE-0F39-4485-A9A6-E9D4C61F3E47}"/>
    <cellStyle name="Normal 9" xfId="1" xr:uid="{35E479EC-9B60-4359-8D04-785D5889FC1B}"/>
    <cellStyle name="Normal_BARCLAYS-ZAMALEK fin 2" xfId="8" xr:uid="{32CF364A-A82F-479D-AD9D-CB5AAB130CF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8EF30-1ADD-44EE-BC9A-38417B22C8C7}">
  <dimension ref="A1:F40"/>
  <sheetViews>
    <sheetView tabSelected="1" workbookViewId="0"/>
  </sheetViews>
  <sheetFormatPr defaultRowHeight="15" x14ac:dyDescent="0.25"/>
  <cols>
    <col min="1" max="1" width="17.7109375" bestFit="1" customWidth="1"/>
    <col min="2" max="2" width="30.140625" bestFit="1" customWidth="1"/>
    <col min="3" max="3" width="6.7109375" bestFit="1" customWidth="1"/>
    <col min="4" max="4" width="6.42578125" bestFit="1" customWidth="1"/>
    <col min="5" max="6" width="10.42578125" bestFit="1" customWidth="1"/>
  </cols>
  <sheetData>
    <row r="1" spans="1:6" ht="18.75" x14ac:dyDescent="0.25">
      <c r="A1" s="1" t="s">
        <v>37</v>
      </c>
      <c r="B1" s="2" t="s">
        <v>34</v>
      </c>
      <c r="C1" s="3" t="s">
        <v>35</v>
      </c>
      <c r="D1" s="3" t="s">
        <v>36</v>
      </c>
      <c r="E1" s="4" t="s">
        <v>0</v>
      </c>
      <c r="F1" s="4" t="s">
        <v>1</v>
      </c>
    </row>
    <row r="2" spans="1:6" ht="15.75" x14ac:dyDescent="0.25">
      <c r="A2" s="5"/>
      <c r="B2" s="6" t="s">
        <v>2</v>
      </c>
      <c r="C2" s="7"/>
      <c r="D2" s="7"/>
      <c r="E2" s="8"/>
      <c r="F2" s="8"/>
    </row>
    <row r="3" spans="1:6" x14ac:dyDescent="0.25">
      <c r="A3" s="9"/>
      <c r="B3" s="10" t="s">
        <v>3</v>
      </c>
      <c r="C3" s="11"/>
      <c r="D3" s="11"/>
      <c r="E3" s="12"/>
      <c r="F3" s="12"/>
    </row>
    <row r="4" spans="1:6" ht="51" x14ac:dyDescent="0.25">
      <c r="A4" s="13"/>
      <c r="B4" s="14" t="s">
        <v>4</v>
      </c>
      <c r="C4" s="15"/>
      <c r="D4" s="16"/>
      <c r="E4" s="12"/>
      <c r="F4" s="12"/>
    </row>
    <row r="5" spans="1:6" ht="51" x14ac:dyDescent="0.25">
      <c r="A5" s="13"/>
      <c r="B5" s="14" t="s">
        <v>5</v>
      </c>
      <c r="C5" s="15"/>
      <c r="D5" s="16"/>
      <c r="E5" s="12"/>
      <c r="F5" s="12"/>
    </row>
    <row r="6" spans="1:6" ht="127.5" x14ac:dyDescent="0.25">
      <c r="A6" s="13"/>
      <c r="B6" s="14" t="s">
        <v>6</v>
      </c>
      <c r="C6" s="15"/>
      <c r="D6" s="16"/>
      <c r="E6" s="12"/>
      <c r="F6" s="12"/>
    </row>
    <row r="7" spans="1:6" ht="89.25" x14ac:dyDescent="0.25">
      <c r="A7" s="13"/>
      <c r="B7" s="14" t="s">
        <v>7</v>
      </c>
      <c r="C7" s="15"/>
      <c r="D7" s="16"/>
      <c r="E7" s="12"/>
      <c r="F7" s="12"/>
    </row>
    <row r="8" spans="1:6" ht="51" x14ac:dyDescent="0.25">
      <c r="A8" s="13"/>
      <c r="B8" s="14" t="s">
        <v>8</v>
      </c>
      <c r="C8" s="15"/>
      <c r="D8" s="16"/>
      <c r="E8" s="12"/>
      <c r="F8" s="12"/>
    </row>
    <row r="9" spans="1:6" ht="38.25" x14ac:dyDescent="0.25">
      <c r="A9" s="13"/>
      <c r="B9" s="14" t="s">
        <v>9</v>
      </c>
      <c r="C9" s="15"/>
      <c r="D9" s="16"/>
      <c r="E9" s="12"/>
      <c r="F9" s="12"/>
    </row>
    <row r="10" spans="1:6" ht="92.25" x14ac:dyDescent="0.25">
      <c r="A10" s="13"/>
      <c r="B10" s="17" t="s">
        <v>10</v>
      </c>
      <c r="C10" s="15"/>
      <c r="D10" s="16"/>
      <c r="E10" s="12"/>
      <c r="F10" s="12"/>
    </row>
    <row r="11" spans="1:6" ht="26.25" x14ac:dyDescent="0.25">
      <c r="A11" s="18"/>
      <c r="B11" s="19" t="s">
        <v>11</v>
      </c>
      <c r="C11" s="20"/>
      <c r="D11" s="21"/>
      <c r="E11" s="22"/>
      <c r="F11" s="22"/>
    </row>
    <row r="12" spans="1:6" x14ac:dyDescent="0.25">
      <c r="A12" s="23"/>
      <c r="B12" s="24"/>
      <c r="C12" s="25"/>
      <c r="D12" s="26"/>
      <c r="E12" s="12"/>
      <c r="F12" s="12"/>
    </row>
    <row r="13" spans="1:6" ht="127.5" x14ac:dyDescent="0.25">
      <c r="A13" s="27">
        <v>1</v>
      </c>
      <c r="B13" s="28" t="s">
        <v>12</v>
      </c>
      <c r="C13" s="29"/>
      <c r="D13" s="30"/>
      <c r="E13" s="31"/>
      <c r="F13" s="31"/>
    </row>
    <row r="14" spans="1:6" x14ac:dyDescent="0.25">
      <c r="A14" s="27"/>
      <c r="B14" s="28"/>
      <c r="C14" s="29"/>
      <c r="D14" s="30"/>
      <c r="E14" s="31"/>
      <c r="F14" s="31"/>
    </row>
    <row r="15" spans="1:6" ht="39.75" x14ac:dyDescent="0.25">
      <c r="A15" s="27"/>
      <c r="B15" s="32" t="s">
        <v>13</v>
      </c>
      <c r="C15" s="33"/>
      <c r="D15" s="30"/>
      <c r="E15" s="31"/>
      <c r="F15" s="31"/>
    </row>
    <row r="16" spans="1:6" x14ac:dyDescent="0.25">
      <c r="A16" s="27"/>
      <c r="B16" s="32"/>
      <c r="C16" s="33"/>
      <c r="D16" s="30"/>
      <c r="E16" s="31"/>
      <c r="F16" s="31"/>
    </row>
    <row r="17" spans="1:6" ht="39" x14ac:dyDescent="0.25">
      <c r="A17" s="34">
        <f>A13+0.1</f>
        <v>1.1000000000000001</v>
      </c>
      <c r="B17" s="35" t="s">
        <v>14</v>
      </c>
      <c r="C17" s="36">
        <v>85</v>
      </c>
      <c r="D17" s="30" t="s">
        <v>15</v>
      </c>
      <c r="E17" s="37">
        <v>527.88</v>
      </c>
      <c r="F17" s="31" t="s">
        <v>16</v>
      </c>
    </row>
    <row r="18" spans="1:6" ht="15.75" x14ac:dyDescent="0.25">
      <c r="A18" s="38"/>
      <c r="B18" s="35"/>
      <c r="C18" s="36"/>
      <c r="D18" s="30"/>
      <c r="E18" s="37"/>
      <c r="F18" s="31"/>
    </row>
    <row r="19" spans="1:6" ht="26.25" x14ac:dyDescent="0.25">
      <c r="A19" s="34">
        <f>A17+0.1</f>
        <v>1.2000000000000002</v>
      </c>
      <c r="B19" s="35" t="s">
        <v>17</v>
      </c>
      <c r="C19" s="36">
        <v>191</v>
      </c>
      <c r="D19" s="30" t="s">
        <v>15</v>
      </c>
      <c r="E19" s="37">
        <v>263.94</v>
      </c>
      <c r="F19" s="31" t="s">
        <v>16</v>
      </c>
    </row>
    <row r="20" spans="1:6" ht="15.75" x14ac:dyDescent="0.25">
      <c r="A20" s="38"/>
      <c r="B20" s="35"/>
      <c r="C20" s="36"/>
      <c r="D20" s="30"/>
      <c r="E20" s="37"/>
      <c r="F20" s="31"/>
    </row>
    <row r="21" spans="1:6" ht="39.75" x14ac:dyDescent="0.25">
      <c r="A21" s="38"/>
      <c r="B21" s="32" t="s">
        <v>18</v>
      </c>
      <c r="C21" s="36"/>
      <c r="D21" s="30"/>
      <c r="E21" s="37">
        <v>0</v>
      </c>
      <c r="F21" s="31"/>
    </row>
    <row r="22" spans="1:6" ht="15.75" x14ac:dyDescent="0.25">
      <c r="A22" s="38"/>
      <c r="B22" s="39"/>
      <c r="C22" s="36"/>
      <c r="D22" s="30"/>
      <c r="E22" s="37"/>
      <c r="F22" s="31"/>
    </row>
    <row r="23" spans="1:6" ht="26.25" x14ac:dyDescent="0.25">
      <c r="A23" s="34">
        <f>A19+0.1</f>
        <v>1.3000000000000003</v>
      </c>
      <c r="B23" s="35" t="s">
        <v>19</v>
      </c>
      <c r="C23" s="36">
        <v>30</v>
      </c>
      <c r="D23" s="30" t="s">
        <v>20</v>
      </c>
      <c r="E23" s="37">
        <v>5357.42</v>
      </c>
      <c r="F23" s="31">
        <f t="shared" ref="F23:F38" si="0">E23*C23</f>
        <v>160722.6</v>
      </c>
    </row>
    <row r="24" spans="1:6" ht="15.75" x14ac:dyDescent="0.25">
      <c r="A24" s="40"/>
      <c r="B24" s="41" t="s">
        <v>2</v>
      </c>
      <c r="C24" s="42"/>
      <c r="D24" s="21"/>
      <c r="E24" s="43"/>
      <c r="F24" s="22"/>
    </row>
    <row r="25" spans="1:6" ht="15.75" x14ac:dyDescent="0.25">
      <c r="A25" s="27"/>
      <c r="B25" s="44"/>
      <c r="C25" s="45"/>
      <c r="D25" s="30"/>
      <c r="E25" s="37"/>
      <c r="F25" s="31"/>
    </row>
    <row r="26" spans="1:6" ht="178.5" x14ac:dyDescent="0.25">
      <c r="A26" s="27">
        <v>2</v>
      </c>
      <c r="B26" s="46" t="s">
        <v>21</v>
      </c>
      <c r="C26" s="47"/>
      <c r="D26" s="30"/>
      <c r="E26" s="37">
        <v>0</v>
      </c>
      <c r="F26" s="31"/>
    </row>
    <row r="27" spans="1:6" ht="15.75" x14ac:dyDescent="0.25">
      <c r="A27" s="27"/>
      <c r="B27" s="46"/>
      <c r="C27" s="47"/>
      <c r="D27" s="30"/>
      <c r="E27" s="37"/>
      <c r="F27" s="31"/>
    </row>
    <row r="28" spans="1:6" ht="65.25" x14ac:dyDescent="0.25">
      <c r="A28" s="27"/>
      <c r="B28" s="32" t="s">
        <v>22</v>
      </c>
      <c r="C28" s="48"/>
      <c r="D28" s="30"/>
      <c r="E28" s="37">
        <v>0</v>
      </c>
      <c r="F28" s="31"/>
    </row>
    <row r="29" spans="1:6" ht="27.75" x14ac:dyDescent="0.25">
      <c r="A29" s="27">
        <v>2.1</v>
      </c>
      <c r="B29" s="35" t="s">
        <v>23</v>
      </c>
      <c r="C29" s="36">
        <v>75</v>
      </c>
      <c r="D29" s="30" t="s">
        <v>20</v>
      </c>
      <c r="E29" s="37">
        <v>14137.95</v>
      </c>
      <c r="F29" s="31">
        <f t="shared" si="0"/>
        <v>1060346.25</v>
      </c>
    </row>
    <row r="30" spans="1:6" ht="26.25" x14ac:dyDescent="0.25">
      <c r="A30" s="27">
        <v>2.2000000000000002</v>
      </c>
      <c r="B30" s="35" t="s">
        <v>24</v>
      </c>
      <c r="C30" s="36">
        <v>30</v>
      </c>
      <c r="D30" s="30" t="s">
        <v>20</v>
      </c>
      <c r="E30" s="37">
        <v>15985.75</v>
      </c>
      <c r="F30" s="31">
        <f t="shared" si="0"/>
        <v>479572.5</v>
      </c>
    </row>
    <row r="31" spans="1:6" ht="26.25" x14ac:dyDescent="0.25">
      <c r="A31" s="27">
        <v>2.3000000000000003</v>
      </c>
      <c r="B31" s="35" t="s">
        <v>25</v>
      </c>
      <c r="C31" s="36">
        <v>51.2</v>
      </c>
      <c r="D31" s="30" t="s">
        <v>20</v>
      </c>
      <c r="E31" s="37">
        <v>20024.990000000002</v>
      </c>
      <c r="F31" s="31">
        <f t="shared" si="0"/>
        <v>1025279.4880000001</v>
      </c>
    </row>
    <row r="32" spans="1:6" ht="26.25" x14ac:dyDescent="0.25">
      <c r="A32" s="34">
        <v>2.4000000000000004</v>
      </c>
      <c r="B32" s="35" t="s">
        <v>26</v>
      </c>
      <c r="C32" s="45">
        <v>32</v>
      </c>
      <c r="D32" s="30" t="s">
        <v>20</v>
      </c>
      <c r="E32" s="37">
        <v>17367.919999999998</v>
      </c>
      <c r="F32" s="31">
        <f t="shared" si="0"/>
        <v>555773.43999999994</v>
      </c>
    </row>
    <row r="33" spans="1:6" ht="51.75" x14ac:dyDescent="0.25">
      <c r="A33" s="34">
        <v>2.5000000000000004</v>
      </c>
      <c r="B33" s="35" t="s">
        <v>27</v>
      </c>
      <c r="C33" s="45">
        <v>160</v>
      </c>
      <c r="D33" s="30" t="s">
        <v>20</v>
      </c>
      <c r="E33" s="37">
        <v>16794.759999999998</v>
      </c>
      <c r="F33" s="31">
        <f t="shared" si="0"/>
        <v>2687161.5999999996</v>
      </c>
    </row>
    <row r="34" spans="1:6" ht="26.25" x14ac:dyDescent="0.25">
      <c r="A34" s="34">
        <v>2.6000000000000005</v>
      </c>
      <c r="B34" s="35" t="s">
        <v>28</v>
      </c>
      <c r="C34" s="45">
        <v>23.04</v>
      </c>
      <c r="D34" s="30" t="s">
        <v>20</v>
      </c>
      <c r="E34" s="37">
        <v>20294.36</v>
      </c>
      <c r="F34" s="31">
        <f t="shared" si="0"/>
        <v>467582.05440000002</v>
      </c>
    </row>
    <row r="35" spans="1:6" ht="15.75" x14ac:dyDescent="0.25">
      <c r="A35" s="49"/>
      <c r="B35" s="35"/>
      <c r="C35" s="45"/>
      <c r="D35" s="30"/>
      <c r="E35" s="37"/>
      <c r="F35" s="31"/>
    </row>
    <row r="36" spans="1:6" ht="216.75" x14ac:dyDescent="0.25">
      <c r="A36" s="49">
        <v>3</v>
      </c>
      <c r="B36" s="46" t="s">
        <v>29</v>
      </c>
      <c r="C36" s="45"/>
      <c r="D36" s="30"/>
      <c r="E36" s="37">
        <v>0</v>
      </c>
      <c r="F36" s="31"/>
    </row>
    <row r="37" spans="1:6" ht="27" x14ac:dyDescent="0.25">
      <c r="A37" s="50"/>
      <c r="B37" s="51" t="s">
        <v>30</v>
      </c>
      <c r="C37" s="25"/>
      <c r="D37" s="26"/>
      <c r="E37" s="37">
        <v>0</v>
      </c>
      <c r="F37" s="12"/>
    </row>
    <row r="38" spans="1:6" ht="25.5" x14ac:dyDescent="0.25">
      <c r="A38" s="50">
        <v>3.1</v>
      </c>
      <c r="B38" s="52" t="s">
        <v>31</v>
      </c>
      <c r="C38" s="53">
        <v>191</v>
      </c>
      <c r="D38" s="26" t="s">
        <v>15</v>
      </c>
      <c r="E38" s="37">
        <v>1866.3</v>
      </c>
      <c r="F38" s="12">
        <f t="shared" si="0"/>
        <v>356463.3</v>
      </c>
    </row>
    <row r="39" spans="1:6" ht="38.25" x14ac:dyDescent="0.25">
      <c r="A39" s="54">
        <v>3.2</v>
      </c>
      <c r="B39" s="52" t="s">
        <v>32</v>
      </c>
      <c r="C39" s="53">
        <v>1</v>
      </c>
      <c r="D39" s="26" t="s">
        <v>15</v>
      </c>
      <c r="E39" s="37">
        <v>2488.39</v>
      </c>
      <c r="F39" s="12" t="s">
        <v>16</v>
      </c>
    </row>
    <row r="40" spans="1:6" ht="15.75" x14ac:dyDescent="0.25">
      <c r="A40" s="55" t="s">
        <v>33</v>
      </c>
      <c r="B40" s="55"/>
      <c r="C40" s="56"/>
      <c r="D40" s="56"/>
      <c r="E40" s="57">
        <f>SUM(F13:F40)</f>
        <v>6792901.2324000001</v>
      </c>
      <c r="F40" s="5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Abd El-Samea Mohamed</dc:creator>
  <cp:lastModifiedBy>Mohamed Abd El-Samea Mohamed</cp:lastModifiedBy>
  <dcterms:created xsi:type="dcterms:W3CDTF">2026-05-27T15:52:12Z</dcterms:created>
  <dcterms:modified xsi:type="dcterms:W3CDTF">2026-06-04T06:11:55Z</dcterms:modified>
</cp:coreProperties>
</file>